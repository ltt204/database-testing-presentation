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giang\OneDrive\Desktop\Requirement3\"/>
    </mc:Choice>
  </mc:AlternateContent>
  <xr:revisionPtr revIDLastSave="0" documentId="13_ncr:1_{C75275DD-1D04-4844-AA44-FA32ACF4F1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summary report" sheetId="1" r:id="rId1"/>
    <sheet name="Bug report" sheetId="2" r:id="rId2"/>
  </sheets>
  <calcPr calcId="191029" iterateDelta="1E-4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8" i="1" l="1"/>
  <c r="G18" i="1"/>
  <c r="F18" i="1"/>
  <c r="E18" i="1"/>
  <c r="D18" i="1"/>
  <c r="I14" i="1"/>
  <c r="J14" i="1" s="1"/>
  <c r="C14" i="1"/>
  <c r="I13" i="1"/>
  <c r="J13" i="1" s="1"/>
  <c r="C13" i="1"/>
  <c r="I12" i="1"/>
  <c r="I18" i="1" s="1"/>
  <c r="C9" i="1" s="1"/>
  <c r="C12" i="1"/>
  <c r="C18" i="1" l="1"/>
  <c r="J12" i="1"/>
  <c r="J18" i="1" l="1"/>
  <c r="C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H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I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<sst xmlns="http://schemas.openxmlformats.org/spreadsheetml/2006/main" count="117" uniqueCount="95">
  <si>
    <t>Tester</t>
  </si>
  <si>
    <t>Date</t>
  </si>
  <si>
    <t>Function ID</t>
  </si>
  <si>
    <t>Status</t>
  </si>
  <si>
    <t>Comment</t>
  </si>
  <si>
    <t>Defect ID</t>
  </si>
  <si>
    <t>Defect Title</t>
  </si>
  <si>
    <t>Defect Description</t>
  </si>
  <si>
    <t>Severity</t>
  </si>
  <si>
    <t>Date Reported</t>
  </si>
  <si>
    <t>Open</t>
  </si>
  <si>
    <t>Reported By</t>
  </si>
  <si>
    <t>Steps to Reproduce</t>
  </si>
  <si>
    <t>Expected Result</t>
  </si>
  <si>
    <t>Actual Result</t>
  </si>
  <si>
    <t>TEST REPORT</t>
  </si>
  <si>
    <t>Project Name</t>
  </si>
  <si>
    <t>OrangeHRM</t>
  </si>
  <si>
    <t>Creator</t>
  </si>
  <si>
    <t>Giang Đức Nhật</t>
  </si>
  <si>
    <t>Group ID</t>
  </si>
  <si>
    <t>Group 11</t>
  </si>
  <si>
    <t>Approver</t>
  </si>
  <si>
    <t>Note</t>
  </si>
  <si>
    <t>Test Coverage</t>
  </si>
  <si>
    <t>Date:</t>
  </si>
  <si>
    <t>Successful Coverage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</si>
  <si>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</si>
  <si>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</si>
  <si>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</si>
  <si>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</si>
  <si>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</si>
  <si>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</si>
  <si>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</si>
  <si>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</si>
  <si>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</si>
  <si>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HR Admin - User Management</t>
  </si>
  <si>
    <t>ESS - Leave Management</t>
  </si>
  <si>
    <t>ESS - Buzz Newsfeed</t>
  </si>
  <si>
    <t>F01</t>
  </si>
  <si>
    <t>TC_ADM_05</t>
  </si>
  <si>
    <t>1. Navigate to Admin &gt; User Management. 
2. Click Add. 
3. Select Role: ESS. 
4. Select Employee: [Employee with existing account]
5. Username: "nguyenvana".
6. Password: "Nguyenvana123!". 
7. Click Save.</t>
  </si>
  <si>
    <t>System should warn or prevent creating a second account for the same employee.</t>
  </si>
  <si>
    <t>Success!
Successfully saved
--&gt; Lỗi: Một employee tạo được 2 account cùng lúc</t>
  </si>
  <si>
    <t>Business Logic (Data Integrity)</t>
  </si>
  <si>
    <t>DF01</t>
  </si>
  <si>
    <t>Một employee có thể tạo được 2 account</t>
  </si>
  <si>
    <t>Medium</t>
  </si>
  <si>
    <t>GDNhat</t>
  </si>
  <si>
    <t>F02</t>
  </si>
  <si>
    <t>TC_ESS_01</t>
  </si>
  <si>
    <t>1. Login ESS &gt; Leave &gt; Apply. 
2. Select Type: "Annual Leave". 
3. From Date: [Tomorrow].
4. To Date: [Tomorrow]. 
5.Duration: Half day - Morning
6. Click Apply.</t>
  </si>
  <si>
    <t>Request submitted. Status is "Pending Approval". Leave balance is deducted (if applicable).</t>
  </si>
  <si>
    <t>Không thể load được web page</t>
  </si>
  <si>
    <t>Negative Testing</t>
  </si>
  <si>
    <t>TC_ESS_02</t>
  </si>
  <si>
    <t>Failed to Submit: No Working Days Selected</t>
  </si>
  <si>
    <t>Boundary Value Analysis (Edge value)</t>
  </si>
  <si>
    <t>TC_ESS_13</t>
  </si>
  <si>
    <t>1. From Date: [Yesterday]. 
2. Click Apply.</t>
  </si>
  <si>
    <t>(Depending on config) System allows OR shows warning "Cannot apply for past dates".</t>
  </si>
  <si>
    <t>Tạo Leave vào ngày trong quá khứ, leave được tạo, ngay lập tức chuyển sang trạng thái Cancelled</t>
  </si>
  <si>
    <t>Business Logic (Policy)</t>
  </si>
  <si>
    <t>F03</t>
  </si>
  <si>
    <t>TC_BUZZ_03</t>
  </si>
  <si>
    <t>1. Leave text box blank. 
2. Click Post.</t>
  </si>
  <si>
    <t>System ignores click OR shows error. No empty post is created.</t>
  </si>
  <si>
    <t>Hệ thống không thông báo về việc input bị empty</t>
  </si>
  <si>
    <t>Input Validation (Empty)</t>
  </si>
  <si>
    <t>TC_BUZZ_10</t>
  </si>
  <si>
    <t>1. Fill the input with spaces. 
2. Press Enter.</t>
  </si>
  <si>
    <t>Nothing happens. No empty comment is created.</t>
  </si>
  <si>
    <t>Error
Invalid Parameter</t>
  </si>
  <si>
    <t>Input Validation</t>
  </si>
  <si>
    <t>ESS không vào được web page khi bên admin chưa config leave period</t>
  </si>
  <si>
    <t>Multiple account per employee</t>
  </si>
  <si>
    <t>ESS Leave loading page error</t>
  </si>
  <si>
    <t>Serious</t>
  </si>
  <si>
    <t>Comestic</t>
  </si>
  <si>
    <t>Datapicker error</t>
  </si>
  <si>
    <t>1. Login ESS &gt; Leave &gt; Apply. 
2. Select Type: "Sick Leave". 
3. From Date: [Tomorrow].
4. To Date: [Tomorrow].
5.Duration: Full Day
6. Click Apply.</t>
  </si>
  <si>
    <t>Chọn From date và To date chung một ngày, và Duration Full Day bị lỗi</t>
  </si>
  <si>
    <t>Chọn ngày trong quá khứ</t>
  </si>
  <si>
    <t>Người dùng có thể chọn ngày trong quá khứ vào tạo leave request</t>
  </si>
  <si>
    <t>Empty input buzz post</t>
  </si>
  <si>
    <t>Nhập input buzz empty và bấm đăng không thấy phản hồi gì</t>
  </si>
  <si>
    <t>Space input buzz comment</t>
  </si>
  <si>
    <t>Nhập comment với spaces sẽ bị lỗi</t>
  </si>
  <si>
    <t>Test Case ID</t>
  </si>
  <si>
    <t>DF02</t>
  </si>
  <si>
    <t>DF03</t>
  </si>
  <si>
    <t>DF04</t>
  </si>
  <si>
    <t>DF05</t>
  </si>
  <si>
    <t>DF06</t>
  </si>
  <si>
    <t>20/12/2025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</si>
</sst>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0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8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1">
    <xf numFmtId="0" fontId="0" fillId="0" borderId="0" xfId="0"/>
    <xf numFmtId="9" fontId="0" fillId="0" borderId="1" xfId="1" applyFont="1" applyBorder="1" applyAlignment="1">
      <alignment horizontal="center"/>
    </xf>
    <xf numFmtId="0" fontId="0" fillId="0" borderId="0" xfId="0" applyFont="1" applyBorder="1"/>
    <xf numFmtId="0" fontId="0" fillId="0" borderId="1" xfId="0" applyFont="1" applyBorder="1"/>
    <xf numFmtId="0" fontId="0" fillId="0" borderId="1" xfId="0" applyFont="1" applyBorder="1" applyAlignment="1">
      <alignment wrapText="1"/>
    </xf>
    <xf numFmtId="164" fontId="0" fillId="0" borderId="1" xfId="0" applyNumberFormat="1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6" xfId="0" applyFont="1" applyBorder="1" applyAlignment="1">
      <alignment wrapText="1"/>
    </xf>
    <xf numFmtId="0" fontId="0" fillId="0" borderId="1" xfId="0" applyFont="1" applyBorder="1" applyAlignment="1">
      <alignment vertical="center"/>
    </xf>
    <xf numFmtId="0" fontId="0" fillId="2" borderId="0" xfId="0" applyFont="1" applyFill="1"/>
    <xf numFmtId="0" fontId="0" fillId="2" borderId="0" xfId="0" applyFont="1" applyFill="1" applyAlignment="1">
      <alignment horizontal="left"/>
    </xf>
    <xf numFmtId="0" fontId="0" fillId="0" borderId="0" xfId="0" applyFont="1"/>
    <xf numFmtId="14" fontId="0" fillId="2" borderId="0" xfId="0" applyNumberFormat="1" applyFont="1" applyFill="1" applyAlignment="1">
      <alignment horizontal="left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9" fontId="9" fillId="0" borderId="0" xfId="1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0" fillId="0" borderId="2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2" totalsRowShown="0" headerRowDxfId="1" dataDxfId="0">
  <tableColumns count="13">
    <tableColumn id="1" xr3:uid="{00000000-0010-0000-0000-000001000000}" name="Defect ID" dataDxfId="14"/>
    <tableColumn id="3" xr3:uid="{00000000-0010-0000-0000-000003000000}" name="Defect Title" dataDxfId="13"/>
    <tableColumn id="14" xr3:uid="{9D8FADFD-C492-4A77-BEA6-9A0BFCD98A9D}" name="Test Case ID" dataDxfId="12"/>
    <tableColumn id="11" xr3:uid="{00000000-0010-0000-0000-00000B000000}" name="Defect Description" dataDxfId="11"/>
    <tableColumn id="2" xr3:uid="{481DB5E1-8C0A-1141-BE4B-253435B69B8C}" name="Steps to Reproduce" dataDxfId="10"/>
    <tableColumn id="4" xr3:uid="{29F06308-5E19-B442-BFD9-F2A1F77FCD64}" name="Expected Result" dataDxfId="9"/>
    <tableColumn id="7" xr3:uid="{ACDC4036-2AFE-8741-B938-4C882D635CA7}" name="Actual Result" dataDxfId="8"/>
    <tableColumn id="10" xr3:uid="{00000000-0010-0000-0000-00000A000000}" name="Function ID" dataDxfId="7"/>
    <tableColumn id="5" xr3:uid="{00000000-0010-0000-0000-000005000000}" name="Severity" dataDxfId="6"/>
    <tableColumn id="12" xr3:uid="{00000000-0010-0000-0000-00000C000000}" name="Reported By" dataDxfId="5"/>
    <tableColumn id="6" xr3:uid="{00000000-0010-0000-0000-000006000000}" name="Date Reported" dataDxfId="4"/>
    <tableColumn id="8" xr3:uid="{00000000-0010-0000-0000-000008000000}" name="Status" dataDxfId="3"/>
    <tableColumn id="9" xr3:uid="{00000000-0010-0000-0000-000009000000}" name="Comment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O11" sqref="O11"/>
    </sheetView>
  </sheetViews>
  <sheetFormatPr defaultColWidth="8.85546875" defaultRowHeight="15" x14ac:dyDescent="0.25"/>
  <cols>
    <col min="1" max="1" width="6.5703125" style="11" bestFit="1" customWidth="1"/>
    <col min="2" max="2" width="20.7109375" style="11" bestFit="1" customWidth="1"/>
    <col min="3" max="3" width="7.42578125" style="11" bestFit="1" customWidth="1"/>
    <col min="4" max="4" width="7.5703125" style="11" bestFit="1" customWidth="1"/>
    <col min="5" max="5" width="6.7109375" style="11" bestFit="1" customWidth="1"/>
    <col min="6" max="6" width="8.7109375" style="11" bestFit="1" customWidth="1"/>
    <col min="7" max="7" width="8.85546875" style="11"/>
    <col min="8" max="8" width="15.28515625" style="11" bestFit="1" customWidth="1"/>
    <col min="9" max="9" width="12.42578125" style="11" bestFit="1" customWidth="1"/>
    <col min="10" max="10" width="14.7109375" style="11" bestFit="1" customWidth="1"/>
    <col min="11" max="16384" width="8.85546875" style="11"/>
  </cols>
  <sheetData>
    <row r="1" spans="1:10" x14ac:dyDescent="0.25">
      <c r="A1" s="9" t="s">
        <v>0</v>
      </c>
      <c r="B1" s="10" t="s">
        <v>19</v>
      </c>
      <c r="C1" s="10"/>
      <c r="D1" s="10"/>
      <c r="E1" s="10"/>
      <c r="F1" s="10"/>
      <c r="G1" s="10"/>
    </row>
    <row r="2" spans="1:10" x14ac:dyDescent="0.25">
      <c r="A2" s="9" t="s">
        <v>1</v>
      </c>
      <c r="B2" s="12" t="s">
        <v>94</v>
      </c>
      <c r="C2" s="12"/>
      <c r="D2" s="12"/>
      <c r="E2" s="12"/>
      <c r="F2" s="12"/>
      <c r="G2" s="12"/>
    </row>
    <row r="3" spans="1:10" x14ac:dyDescent="0.25">
      <c r="A3" s="13"/>
      <c r="B3" s="20" t="s">
        <v>15</v>
      </c>
      <c r="C3" s="20"/>
      <c r="D3" s="20"/>
      <c r="E3" s="20"/>
      <c r="F3" s="20"/>
      <c r="G3" s="20"/>
      <c r="H3" s="20"/>
      <c r="I3" s="20"/>
      <c r="J3" s="13"/>
    </row>
    <row r="4" spans="1:10" x14ac:dyDescent="0.25">
      <c r="A4" s="21" t="s">
        <v>16</v>
      </c>
      <c r="B4" s="21"/>
      <c r="C4" s="22" t="s">
        <v>17</v>
      </c>
      <c r="D4" s="22"/>
      <c r="E4" s="22"/>
      <c r="F4" s="21" t="s">
        <v>18</v>
      </c>
      <c r="G4" s="21"/>
      <c r="H4" s="22" t="s">
        <v>19</v>
      </c>
      <c r="I4" s="22"/>
      <c r="J4" s="22"/>
    </row>
    <row r="5" spans="1:10" x14ac:dyDescent="0.25">
      <c r="A5" s="21" t="s">
        <v>20</v>
      </c>
      <c r="B5" s="21"/>
      <c r="C5" s="22" t="s">
        <v>21</v>
      </c>
      <c r="D5" s="22"/>
      <c r="E5" s="22"/>
      <c r="F5" s="21" t="s">
        <v>22</v>
      </c>
      <c r="G5" s="21"/>
      <c r="H5" s="22" t="s">
        <v>21</v>
      </c>
      <c r="I5" s="22"/>
      <c r="J5" s="22"/>
    </row>
    <row r="6" spans="1:10" x14ac:dyDescent="0.25">
      <c r="A6" s="23" t="s">
        <v>23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x14ac:dyDescent="0.25">
      <c r="A7" s="13"/>
      <c r="C7" s="13"/>
      <c r="D7" s="13"/>
      <c r="E7" s="13"/>
      <c r="F7" s="13"/>
      <c r="G7" s="13"/>
      <c r="H7" s="13"/>
      <c r="I7" s="13"/>
      <c r="J7" s="13"/>
    </row>
    <row r="8" spans="1:10" x14ac:dyDescent="0.25">
      <c r="A8" s="13"/>
      <c r="B8" s="24" t="s">
        <v>24</v>
      </c>
      <c r="C8" s="25">
        <f>C18/I18</f>
        <v>1</v>
      </c>
      <c r="D8" s="13"/>
      <c r="E8" s="13"/>
      <c r="F8" s="13"/>
      <c r="G8" s="13"/>
      <c r="H8" s="24" t="s">
        <v>25</v>
      </c>
      <c r="I8" s="15" t="s">
        <v>94</v>
      </c>
      <c r="J8" s="13"/>
    </row>
    <row r="9" spans="1:10" x14ac:dyDescent="0.25">
      <c r="A9" s="13"/>
      <c r="B9" s="24" t="s">
        <v>26</v>
      </c>
      <c r="C9" s="25">
        <f>D18/I18</f>
        <v>0.8571428571428571</v>
      </c>
      <c r="D9" s="13"/>
      <c r="E9" s="13"/>
      <c r="F9" s="13"/>
      <c r="G9" s="13"/>
      <c r="H9" s="13"/>
      <c r="I9" s="13"/>
      <c r="J9" s="13"/>
    </row>
    <row r="10" spans="1:10" x14ac:dyDescent="0.25">
      <c r="A10" s="13"/>
      <c r="C10" s="13"/>
      <c r="D10" s="13"/>
      <c r="E10" s="13"/>
      <c r="F10" s="13"/>
      <c r="G10" s="13"/>
      <c r="H10" s="13"/>
      <c r="I10" s="13"/>
      <c r="J10" s="13"/>
    </row>
    <row r="11" spans="1:10" ht="15.75" thickBot="1" x14ac:dyDescent="0.3">
      <c r="A11" s="26" t="s">
        <v>27</v>
      </c>
      <c r="B11" s="27" t="s">
        <v>28</v>
      </c>
      <c r="C11" s="26" t="s">
        <v>29</v>
      </c>
      <c r="D11" s="26" t="s">
        <v>30</v>
      </c>
      <c r="E11" s="26" t="s">
        <v>31</v>
      </c>
      <c r="F11" s="26" t="s">
        <v>32</v>
      </c>
      <c r="G11" s="26" t="s">
        <v>33</v>
      </c>
      <c r="H11" s="26" t="s">
        <v>34</v>
      </c>
      <c r="I11" s="26" t="s">
        <v>35</v>
      </c>
      <c r="J11" s="26" t="s">
        <v>24</v>
      </c>
    </row>
    <row r="12" spans="1:10" ht="30.75" thickBot="1" x14ac:dyDescent="0.3">
      <c r="A12" s="16">
        <v>1</v>
      </c>
      <c r="B12" s="28" t="s">
        <v>36</v>
      </c>
      <c r="C12" s="16">
        <f>SUM(D12:F12)</f>
        <v>10</v>
      </c>
      <c r="D12" s="16">
        <v>9</v>
      </c>
      <c r="E12" s="16">
        <v>1</v>
      </c>
      <c r="F12" s="16">
        <v>0</v>
      </c>
      <c r="G12" s="16">
        <v>0</v>
      </c>
      <c r="H12" s="16">
        <v>0</v>
      </c>
      <c r="I12" s="16">
        <f>SUM(C12,G12:H12)</f>
        <v>10</v>
      </c>
      <c r="J12" s="1">
        <f>C12/I12</f>
        <v>1</v>
      </c>
    </row>
    <row r="13" spans="1:10" ht="30.75" thickBot="1" x14ac:dyDescent="0.3">
      <c r="A13" s="16">
        <v>2</v>
      </c>
      <c r="B13" s="28" t="s">
        <v>37</v>
      </c>
      <c r="C13" s="16">
        <f>SUM(D13:F13)</f>
        <v>16</v>
      </c>
      <c r="D13" s="16">
        <v>13</v>
      </c>
      <c r="E13" s="16">
        <v>3</v>
      </c>
      <c r="F13" s="16">
        <v>0</v>
      </c>
      <c r="G13" s="16">
        <v>0</v>
      </c>
      <c r="H13" s="16">
        <v>0</v>
      </c>
      <c r="I13" s="16">
        <f>SUM(C13,G13:H13)</f>
        <v>16</v>
      </c>
      <c r="J13" s="1">
        <f>C13/I13</f>
        <v>1</v>
      </c>
    </row>
    <row r="14" spans="1:10" ht="15.75" thickBot="1" x14ac:dyDescent="0.3">
      <c r="A14" s="16">
        <v>3</v>
      </c>
      <c r="B14" s="28" t="s">
        <v>38</v>
      </c>
      <c r="C14" s="16">
        <f t="shared" ref="C14:C16" si="0">SUM(D14:F14)</f>
        <v>16</v>
      </c>
      <c r="D14" s="16">
        <v>14</v>
      </c>
      <c r="E14" s="16">
        <v>2</v>
      </c>
      <c r="F14" s="16">
        <v>0</v>
      </c>
      <c r="G14" s="16">
        <v>0</v>
      </c>
      <c r="H14" s="16">
        <v>0</v>
      </c>
      <c r="I14" s="16">
        <f t="shared" ref="I14:I16" si="1">SUM(C14,G14:H14)</f>
        <v>16</v>
      </c>
      <c r="J14" s="1">
        <f t="shared" ref="J14:J16" si="2">C14/I14</f>
        <v>1</v>
      </c>
    </row>
    <row r="15" spans="1:10" x14ac:dyDescent="0.25">
      <c r="A15" s="16"/>
      <c r="B15" s="3"/>
      <c r="C15" s="16"/>
      <c r="D15" s="16"/>
      <c r="E15" s="16"/>
      <c r="F15" s="16"/>
      <c r="G15" s="16"/>
      <c r="H15" s="16"/>
      <c r="I15" s="16"/>
      <c r="J15" s="1"/>
    </row>
    <row r="16" spans="1:10" x14ac:dyDescent="0.25">
      <c r="A16" s="16"/>
      <c r="B16" s="3"/>
      <c r="C16" s="16"/>
      <c r="D16" s="16"/>
      <c r="E16" s="16"/>
      <c r="F16" s="16"/>
      <c r="G16" s="16"/>
      <c r="H16" s="16"/>
      <c r="I16" s="16"/>
      <c r="J16" s="1"/>
    </row>
    <row r="17" spans="1:10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9"/>
    </row>
    <row r="18" spans="1:10" x14ac:dyDescent="0.25">
      <c r="A18" s="29"/>
      <c r="B18" s="29" t="s">
        <v>35</v>
      </c>
      <c r="C18" s="30">
        <f t="shared" ref="C18:I18" si="3">SUM(C12:C16)</f>
        <v>42</v>
      </c>
      <c r="D18" s="29">
        <f t="shared" si="3"/>
        <v>36</v>
      </c>
      <c r="E18" s="29">
        <f t="shared" si="3"/>
        <v>6</v>
      </c>
      <c r="F18" s="29">
        <f t="shared" si="3"/>
        <v>0</v>
      </c>
      <c r="G18" s="29">
        <f t="shared" si="3"/>
        <v>0</v>
      </c>
      <c r="H18" s="30">
        <f t="shared" si="3"/>
        <v>0</v>
      </c>
      <c r="I18" s="30">
        <f t="shared" si="3"/>
        <v>42</v>
      </c>
      <c r="J18" s="25">
        <f>C18/I18</f>
        <v>1</v>
      </c>
    </row>
  </sheetData>
  <mergeCells count="13">
    <mergeCell ref="A17:J17"/>
    <mergeCell ref="A5:B5"/>
    <mergeCell ref="C5:E5"/>
    <mergeCell ref="F5:G5"/>
    <mergeCell ref="H5:J5"/>
    <mergeCell ref="B6:J6"/>
    <mergeCell ref="B1:G1"/>
    <mergeCell ref="B2:G2"/>
    <mergeCell ref="B3:I3"/>
    <mergeCell ref="A4:B4"/>
    <mergeCell ref="C4:E4"/>
    <mergeCell ref="F4:G4"/>
    <mergeCell ref="H4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="120" zoomScaleNormal="120" zoomScalePageLayoutView="120" workbookViewId="0">
      <selection activeCell="D2" sqref="D2"/>
    </sheetView>
  </sheetViews>
  <sheetFormatPr defaultColWidth="8.85546875" defaultRowHeight="15" x14ac:dyDescent="0.25"/>
  <cols>
    <col min="1" max="1" width="9.140625" style="6" bestFit="1" customWidth="1"/>
    <col min="2" max="3" width="26.42578125" style="6" customWidth="1"/>
    <col min="4" max="5" width="37.85546875" style="6" customWidth="1"/>
    <col min="6" max="7" width="18.28515625" style="6" customWidth="1"/>
    <col min="8" max="8" width="12.42578125" style="6" customWidth="1"/>
    <col min="9" max="9" width="11.7109375" style="6" customWidth="1"/>
    <col min="10" max="10" width="13.28515625" style="6" customWidth="1"/>
    <col min="11" max="11" width="13.85546875" style="6" customWidth="1"/>
    <col min="12" max="12" width="16.85546875" style="6" customWidth="1"/>
    <col min="13" max="13" width="28.140625" style="6" customWidth="1"/>
    <col min="14" max="14" width="15.28515625" style="6" customWidth="1"/>
    <col min="15" max="15" width="15.140625" style="6" customWidth="1"/>
    <col min="16" max="16384" width="8.85546875" style="6"/>
  </cols>
  <sheetData>
    <row r="1" spans="1:13" s="6" customFormat="1" x14ac:dyDescent="0.25">
      <c r="A1" s="6" t="s">
        <v>5</v>
      </c>
      <c r="B1" s="6" t="s">
        <v>6</v>
      </c>
      <c r="C1" s="6" t="s">
        <v>88</v>
      </c>
      <c r="D1" s="6" t="s">
        <v>7</v>
      </c>
      <c r="E1" s="6" t="s">
        <v>12</v>
      </c>
      <c r="F1" s="6" t="s">
        <v>13</v>
      </c>
      <c r="G1" s="6" t="s">
        <v>14</v>
      </c>
      <c r="H1" s="6" t="s">
        <v>2</v>
      </c>
      <c r="I1" s="6" t="s">
        <v>8</v>
      </c>
      <c r="J1" s="6" t="s">
        <v>11</v>
      </c>
      <c r="K1" s="6" t="s">
        <v>9</v>
      </c>
      <c r="L1" s="6" t="s">
        <v>3</v>
      </c>
      <c r="M1" s="6" t="s">
        <v>4</v>
      </c>
    </row>
    <row r="2" spans="1:13" s="2" customFormat="1" ht="135" x14ac:dyDescent="0.25">
      <c r="A2" s="3" t="s">
        <v>45</v>
      </c>
      <c r="B2" s="7" t="s">
        <v>75</v>
      </c>
      <c r="C2" s="7" t="s">
        <v>40</v>
      </c>
      <c r="D2" s="4" t="s">
        <v>46</v>
      </c>
      <c r="E2" s="4" t="s">
        <v>41</v>
      </c>
      <c r="F2" s="4" t="s">
        <v>42</v>
      </c>
      <c r="G2" s="4" t="s">
        <v>43</v>
      </c>
      <c r="H2" s="3" t="s">
        <v>39</v>
      </c>
      <c r="I2" s="4" t="s">
        <v>47</v>
      </c>
      <c r="J2" s="4" t="s">
        <v>48</v>
      </c>
      <c r="K2" s="5">
        <v>46011</v>
      </c>
      <c r="L2" s="4" t="s">
        <v>10</v>
      </c>
      <c r="M2" s="3" t="s">
        <v>44</v>
      </c>
    </row>
    <row r="3" spans="1:13" s="2" customFormat="1" ht="105" x14ac:dyDescent="0.25">
      <c r="A3" s="3" t="s">
        <v>89</v>
      </c>
      <c r="B3" s="4" t="s">
        <v>76</v>
      </c>
      <c r="C3" s="2" t="s">
        <v>50</v>
      </c>
      <c r="D3" s="4" t="s">
        <v>74</v>
      </c>
      <c r="E3" s="4" t="s">
        <v>51</v>
      </c>
      <c r="F3" s="4" t="s">
        <v>52</v>
      </c>
      <c r="G3" s="4" t="s">
        <v>53</v>
      </c>
      <c r="H3" s="3" t="s">
        <v>49</v>
      </c>
      <c r="I3" s="4" t="s">
        <v>77</v>
      </c>
      <c r="J3" s="4" t="s">
        <v>48</v>
      </c>
      <c r="K3" s="5">
        <v>46011</v>
      </c>
      <c r="L3" s="4" t="s">
        <v>10</v>
      </c>
      <c r="M3" s="3" t="s">
        <v>54</v>
      </c>
    </row>
    <row r="4" spans="1:13" s="2" customFormat="1" ht="105" x14ac:dyDescent="0.25">
      <c r="A4" s="3" t="s">
        <v>90</v>
      </c>
      <c r="B4" s="4" t="s">
        <v>79</v>
      </c>
      <c r="C4" s="4" t="s">
        <v>55</v>
      </c>
      <c r="D4" s="4" t="s">
        <v>81</v>
      </c>
      <c r="E4" s="4" t="s">
        <v>80</v>
      </c>
      <c r="F4" s="4" t="s">
        <v>52</v>
      </c>
      <c r="G4" s="4" t="s">
        <v>56</v>
      </c>
      <c r="H4" s="3" t="s">
        <v>49</v>
      </c>
      <c r="I4" s="4" t="s">
        <v>47</v>
      </c>
      <c r="J4" s="4" t="s">
        <v>48</v>
      </c>
      <c r="K4" s="5">
        <v>46011</v>
      </c>
      <c r="L4" s="4" t="s">
        <v>10</v>
      </c>
      <c r="M4" s="4" t="s">
        <v>57</v>
      </c>
    </row>
    <row r="5" spans="1:13" s="2" customFormat="1" ht="90" x14ac:dyDescent="0.25">
      <c r="A5" s="3" t="s">
        <v>91</v>
      </c>
      <c r="B5" s="4" t="s">
        <v>82</v>
      </c>
      <c r="C5" s="4" t="s">
        <v>58</v>
      </c>
      <c r="D5" s="4" t="s">
        <v>83</v>
      </c>
      <c r="E5" s="4" t="s">
        <v>59</v>
      </c>
      <c r="F5" s="4" t="s">
        <v>60</v>
      </c>
      <c r="G5" s="4" t="s">
        <v>61</v>
      </c>
      <c r="H5" s="3" t="s">
        <v>49</v>
      </c>
      <c r="I5" s="4" t="s">
        <v>47</v>
      </c>
      <c r="J5" s="4" t="s">
        <v>48</v>
      </c>
      <c r="K5" s="5">
        <v>46011</v>
      </c>
      <c r="L5" s="4" t="s">
        <v>10</v>
      </c>
      <c r="M5" s="8" t="s">
        <v>62</v>
      </c>
    </row>
    <row r="6" spans="1:13" s="2" customFormat="1" ht="60" x14ac:dyDescent="0.25">
      <c r="A6" s="3" t="s">
        <v>92</v>
      </c>
      <c r="B6" s="4" t="s">
        <v>84</v>
      </c>
      <c r="C6" s="4" t="s">
        <v>64</v>
      </c>
      <c r="D6" s="4" t="s">
        <v>85</v>
      </c>
      <c r="E6" s="4" t="s">
        <v>65</v>
      </c>
      <c r="F6" s="4" t="s">
        <v>66</v>
      </c>
      <c r="G6" s="4" t="s">
        <v>67</v>
      </c>
      <c r="H6" s="3" t="s">
        <v>63</v>
      </c>
      <c r="I6" s="4" t="s">
        <v>78</v>
      </c>
      <c r="J6" s="4" t="s">
        <v>48</v>
      </c>
      <c r="K6" s="5">
        <v>46011</v>
      </c>
      <c r="L6" s="4" t="s">
        <v>10</v>
      </c>
      <c r="M6" s="8" t="s">
        <v>68</v>
      </c>
    </row>
    <row r="7" spans="1:13" s="2" customFormat="1" ht="60" x14ac:dyDescent="0.25">
      <c r="A7" s="3" t="s">
        <v>93</v>
      </c>
      <c r="B7" s="4" t="s">
        <v>86</v>
      </c>
      <c r="C7" s="4" t="s">
        <v>69</v>
      </c>
      <c r="D7" s="4" t="s">
        <v>87</v>
      </c>
      <c r="E7" s="4" t="s">
        <v>70</v>
      </c>
      <c r="F7" s="4" t="s">
        <v>71</v>
      </c>
      <c r="G7" s="4" t="s">
        <v>72</v>
      </c>
      <c r="H7" s="3" t="s">
        <v>63</v>
      </c>
      <c r="I7" s="4" t="s">
        <v>78</v>
      </c>
      <c r="J7" s="4" t="s">
        <v>48</v>
      </c>
      <c r="K7" s="5">
        <v>46011</v>
      </c>
      <c r="L7" s="4" t="s">
        <v>10</v>
      </c>
      <c r="M7" s="4" t="s">
        <v>73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Nhật Giang Đức</cp:lastModifiedBy>
  <dcterms:created xsi:type="dcterms:W3CDTF">2013-04-07T13:32:52Z</dcterms:created>
  <dcterms:modified xsi:type="dcterms:W3CDTF">2025-12-20T09:30:04Z</dcterms:modified>
</cp:coreProperties>
</file>