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giang\OneDrive\Desktop\database-testing-presentation\hr_admin_ess\Requirement 7\"/>
    </mc:Choice>
  </mc:AlternateContent>
  <xr:revisionPtr revIDLastSave="0" documentId="13_ncr:1_{541502B0-6832-48A5-AC23-5DFFDE8A0A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 summary report" sheetId="1" r:id="rId1"/>
    <sheet name="Bug report" sheetId="2" r:id="rId2"/>
  </sheets>
  <calcPr calcId="191029" iterateDelta="1E-4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2" i="1" l="1"/>
  <c r="I12" i="1" s="1"/>
  <c r="I18" i="1" s="1"/>
  <c r="C9" i="1" s="1"/>
  <c r="H18" i="1"/>
  <c r="G18" i="1"/>
  <c r="F18" i="1"/>
  <c r="E18" i="1"/>
  <c r="D18" i="1"/>
  <c r="C18" i="1" l="1"/>
  <c r="J12" i="1"/>
  <c r="J18" i="1" l="1"/>
  <c r="C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H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I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<sst xmlns="http://schemas.openxmlformats.org/spreadsheetml/2006/main" count="94" uniqueCount="73">
  <si>
    <t>Tester</t>
  </si>
  <si>
    <t>Date</t>
  </si>
  <si>
    <t>Function ID</t>
  </si>
  <si>
    <t>Status</t>
  </si>
  <si>
    <t>Comment</t>
  </si>
  <si>
    <t>Defect ID</t>
  </si>
  <si>
    <t>Defect Title</t>
  </si>
  <si>
    <t>Defect Description</t>
  </si>
  <si>
    <t>Severity</t>
  </si>
  <si>
    <t>Date Reported</t>
  </si>
  <si>
    <t>High</t>
  </si>
  <si>
    <t>Reported By</t>
  </si>
  <si>
    <t>Steps to Reproduce</t>
  </si>
  <si>
    <t>Expected Result</t>
  </si>
  <si>
    <t>Actual Result</t>
  </si>
  <si>
    <t>TEST REPORT</t>
  </si>
  <si>
    <t>Project Name</t>
  </si>
  <si>
    <t>OrangeHRM</t>
  </si>
  <si>
    <t>Creator</t>
  </si>
  <si>
    <t>Giang Đức Nhật</t>
  </si>
  <si>
    <t>Group ID</t>
  </si>
  <si>
    <t>Group 11</t>
  </si>
  <si>
    <t>Approver</t>
  </si>
  <si>
    <t>Note</t>
  </si>
  <si>
    <t>Test Coverage</t>
  </si>
  <si>
    <t>Date:</t>
  </si>
  <si>
    <t>Successful Coverage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</si>
  <si>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</si>
  <si>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</si>
  <si>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</si>
  <si>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</si>
  <si>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</si>
  <si>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</si>
  <si>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</si>
  <si>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</si>
  <si>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</si>
  <si>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Medium</t>
  </si>
  <si>
    <t>Create User API</t>
  </si>
  <si>
    <t>BUG_01</t>
  </si>
  <si>
    <t>API_01</t>
  </si>
  <si>
    <t>TC_API_12</t>
  </si>
  <si>
    <t>System accepts Username containing spaces</t>
  </si>
  <si>
    <t>13/01/2026</t>
  </si>
  <si>
    <t>Username should not contain spaces to prevent URL encoding issues</t>
  </si>
  <si>
    <t>BUG_02</t>
  </si>
  <si>
    <t>TC_API_13</t>
  </si>
  <si>
    <t>System accepts Username with special characters</t>
  </si>
  <si>
    <t>Weak validation. Should restrict to alphanumeric only</t>
  </si>
  <si>
    <t>BUG_03</t>
  </si>
  <si>
    <t>TC_API_23</t>
  </si>
  <si>
    <t>Internal Server Error (500) when User Role ID is invalid</t>
  </si>
  <si>
    <t>System crashes instead of handling exception gracefully (Expect 400/404)</t>
  </si>
  <si>
    <t>BUG_04</t>
  </si>
  <si>
    <t>TC_API_27</t>
  </si>
  <si>
    <t>One Employee can map to multiple User Accounts</t>
  </si>
  <si>
    <t>Critical</t>
  </si>
  <si>
    <t>Violated Business Logic: 1 Employee must have max 1 Login Account</t>
  </si>
  <si>
    <t>Test case ID</t>
  </si>
  <si>
    <t>1. Open Postman (POST /admin/users)
2. Body userName: "nhat giang"
3. Send request</t>
  </si>
  <si>
    <t>1. Open Postman (POST /admin/users)
2. Body userName: "nhat@123"
3. Send request</t>
  </si>
  <si>
    <t>1. Open Postman (POST /admin/users)
2. Body userRole: {"id": 999}
3. Send request</t>
  </si>
  <si>
    <t>1. Create User A linked to Employee ID 8
2. Create User B linked to SAME Employee ID 8
3. Verify both success</t>
  </si>
  <si>
    <t>Status 400 Bad Request.</t>
  </si>
  <si>
    <t>Status 200: OK</t>
  </si>
  <si>
    <t>Status 400 Bad Request (Allowed chars: a-z, 0-9).</t>
  </si>
  <si>
    <t>Status 404 or 400. Msg: Role not found.</t>
  </si>
  <si>
    <t>Status 500: Unexpected Error Occurred</t>
  </si>
  <si>
    <t>Status 400. Msg: Employee already has login.</t>
  </si>
  <si>
    <t>When submitting a request with a non-existent userRole ID (e.g., 999), the server crashes and returns a 500 Internal Server Error instead of handling the exception gracefully with a 404 Not Found or 400 Bad Request message.</t>
  </si>
  <si>
    <t>The system allows creating multiple User Accounts mapped to the same Employee ID. After creating User A for Employee ID 8, the system successfully creates User B for the same Employee ID 8 (Status 200 OK), violating the one-to-one mapping rule.</t>
  </si>
  <si>
    <t>The API fails to validate the format of the username field. It allows creating a user with spaces in the username (e.g., "nhat giang") and returns status 200 OK. Expected result is 400 Bad Request to prevent URL encoding issues.</t>
  </si>
  <si>
    <t>The system accepts special characters (e.g., @, #, !) in the username field (payload: "nhat@123") without validation. Standard practice requires alphanumeric characters only for system identifiers.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</si>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</sst>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right"/>
    </xf>
    <xf numFmtId="9" fontId="8" fillId="0" borderId="0" xfId="1" applyFont="1" applyAlignment="1">
      <alignment horizontal="center"/>
    </xf>
    <xf numFmtId="0" fontId="0" fillId="0" borderId="0" xfId="0" applyAlignment="1">
      <alignment horizontal="left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10" fillId="0" borderId="2" xfId="0" applyFont="1" applyBorder="1" applyAlignment="1">
      <alignment wrapText="1"/>
    </xf>
    <xf numFmtId="9" fontId="0" fillId="0" borderId="1" xfId="1" applyFont="1" applyBorder="1" applyAlignment="1">
      <alignment horizontal="center"/>
    </xf>
    <xf numFmtId="0" fontId="0" fillId="0" borderId="1" xfId="0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wrapText="1"/>
    </xf>
    <xf numFmtId="0" fontId="0" fillId="0" borderId="0" xfId="0" applyFont="1" applyAlignment="1">
      <alignment wrapText="1"/>
    </xf>
    <xf numFmtId="0" fontId="0" fillId="0" borderId="2" xfId="0" applyFont="1" applyBorder="1" applyAlignment="1">
      <alignment wrapText="1"/>
    </xf>
    <xf numFmtId="0" fontId="0" fillId="0" borderId="2" xfId="0" applyFont="1" applyBorder="1" applyAlignment="1">
      <alignment horizontal="right" wrapText="1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vertical="center" wrapText="1"/>
    </xf>
    <xf numFmtId="0" fontId="0" fillId="4" borderId="0" xfId="0" applyFill="1"/>
    <xf numFmtId="0" fontId="10" fillId="0" borderId="2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15"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medium">
          <color rgb="FFCCCCCC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5" totalsRowShown="0" headerRowDxfId="6" dataDxfId="5">
  <tableColumns count="13">
    <tableColumn id="1" xr3:uid="{00000000-0010-0000-0000-000001000000}" name="Defect ID" dataDxfId="14"/>
    <tableColumn id="13" xr3:uid="{C2339B8B-3AC0-445F-94A7-EA48228B10B3}" name="Test case ID" dataDxfId="4"/>
    <tableColumn id="3" xr3:uid="{00000000-0010-0000-0000-000003000000}" name="Defect Title" dataDxfId="2"/>
    <tableColumn id="11" xr3:uid="{00000000-0010-0000-0000-00000B000000}" name="Defect Description" dataDxfId="0"/>
    <tableColumn id="2" xr3:uid="{481DB5E1-8C0A-1141-BE4B-253435B69B8C}" name="Steps to Reproduce" dataDxfId="1"/>
    <tableColumn id="4" xr3:uid="{29F06308-5E19-B442-BFD9-F2A1F77FCD64}" name="Expected Result" dataDxfId="3"/>
    <tableColumn id="7" xr3:uid="{ACDC4036-2AFE-8741-B938-4C882D635CA7}" name="Actual Result" dataDxfId="13"/>
    <tableColumn id="10" xr3:uid="{00000000-0010-0000-0000-00000A000000}" name="Function ID" dataDxfId="12"/>
    <tableColumn id="5" xr3:uid="{00000000-0010-0000-0000-000005000000}" name="Severity" dataDxfId="11"/>
    <tableColumn id="12" xr3:uid="{00000000-0010-0000-0000-00000C000000}" name="Reported By" dataDxfId="10"/>
    <tableColumn id="6" xr3:uid="{00000000-0010-0000-0000-000006000000}" name="Date Reported" dataDxfId="9"/>
    <tableColumn id="8" xr3:uid="{00000000-0010-0000-0000-000008000000}" name="Status" dataDxfId="8"/>
    <tableColumn id="9" xr3:uid="{00000000-0010-0000-0000-000009000000}" name="Comment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K21" sqref="K21"/>
    </sheetView>
  </sheetViews>
  <sheetFormatPr defaultColWidth="8.85546875" defaultRowHeight="15" x14ac:dyDescent="0.25"/>
  <cols>
    <col min="1" max="1" width="6.5703125" bestFit="1" customWidth="1"/>
    <col min="2" max="2" width="20.7109375" bestFit="1" customWidth="1"/>
    <col min="3" max="3" width="7.42578125" bestFit="1" customWidth="1"/>
    <col min="4" max="4" width="7.5703125" bestFit="1" customWidth="1"/>
    <col min="5" max="5" width="6.7109375" bestFit="1" customWidth="1"/>
    <col min="6" max="6" width="8.7109375" bestFit="1" customWidth="1"/>
    <col min="8" max="8" width="15.28515625" bestFit="1" customWidth="1"/>
    <col min="9" max="9" width="12.42578125" bestFit="1" customWidth="1"/>
    <col min="10" max="10" width="14.7109375" bestFit="1" customWidth="1"/>
  </cols>
  <sheetData>
    <row r="1" spans="1:10" x14ac:dyDescent="0.25">
      <c r="A1" s="2" t="s">
        <v>0</v>
      </c>
      <c r="B1" s="22" t="s">
        <v>19</v>
      </c>
      <c r="C1" s="22"/>
      <c r="D1" s="22"/>
      <c r="E1" s="22"/>
      <c r="F1" s="22"/>
      <c r="G1" s="22"/>
    </row>
    <row r="2" spans="1:10" x14ac:dyDescent="0.25">
      <c r="A2" s="2" t="s">
        <v>1</v>
      </c>
      <c r="B2" s="23">
        <v>46011</v>
      </c>
      <c r="C2" s="23"/>
      <c r="D2" s="23"/>
      <c r="E2" s="23"/>
      <c r="F2" s="23"/>
      <c r="G2" s="23"/>
    </row>
    <row r="3" spans="1:10" ht="26.25" x14ac:dyDescent="0.4">
      <c r="A3" s="3"/>
      <c r="B3" s="24" t="s">
        <v>15</v>
      </c>
      <c r="C3" s="24"/>
      <c r="D3" s="24"/>
      <c r="E3" s="24"/>
      <c r="F3" s="24"/>
      <c r="G3" s="24"/>
      <c r="H3" s="24"/>
      <c r="I3" s="24"/>
      <c r="J3" s="3"/>
    </row>
    <row r="4" spans="1:10" ht="15.75" x14ac:dyDescent="0.25">
      <c r="A4" s="19" t="s">
        <v>16</v>
      </c>
      <c r="B4" s="19"/>
      <c r="C4" s="20" t="s">
        <v>17</v>
      </c>
      <c r="D4" s="20"/>
      <c r="E4" s="20"/>
      <c r="F4" s="19" t="s">
        <v>18</v>
      </c>
      <c r="G4" s="19"/>
      <c r="H4" s="20" t="s">
        <v>19</v>
      </c>
      <c r="I4" s="20"/>
      <c r="J4" s="20"/>
    </row>
    <row r="5" spans="1:10" ht="15.75" x14ac:dyDescent="0.25">
      <c r="A5" s="19" t="s">
        <v>20</v>
      </c>
      <c r="B5" s="19"/>
      <c r="C5" s="20" t="s">
        <v>21</v>
      </c>
      <c r="D5" s="20"/>
      <c r="E5" s="20"/>
      <c r="F5" s="19" t="s">
        <v>22</v>
      </c>
      <c r="G5" s="19"/>
      <c r="H5" s="20" t="s">
        <v>21</v>
      </c>
      <c r="I5" s="20"/>
      <c r="J5" s="20"/>
    </row>
    <row r="6" spans="1:10" ht="15.75" x14ac:dyDescent="0.25">
      <c r="A6" s="4" t="s">
        <v>23</v>
      </c>
      <c r="B6" s="21"/>
      <c r="C6" s="21"/>
      <c r="D6" s="21"/>
      <c r="E6" s="21"/>
      <c r="F6" s="21"/>
      <c r="G6" s="21"/>
      <c r="H6" s="21"/>
      <c r="I6" s="21"/>
      <c r="J6" s="21"/>
    </row>
    <row r="7" spans="1:10" x14ac:dyDescent="0.25">
      <c r="A7" s="3"/>
      <c r="C7" s="3"/>
      <c r="D7" s="3"/>
      <c r="E7" s="3"/>
      <c r="F7" s="3"/>
      <c r="G7" s="3"/>
      <c r="H7" s="3"/>
      <c r="I7" s="3"/>
      <c r="J7" s="3"/>
    </row>
    <row r="8" spans="1:10" ht="15.75" x14ac:dyDescent="0.25">
      <c r="A8" s="3"/>
      <c r="B8" s="6" t="s">
        <v>24</v>
      </c>
      <c r="C8" s="7">
        <f>C18/I18</f>
        <v>1</v>
      </c>
      <c r="D8" s="3"/>
      <c r="E8" s="3"/>
      <c r="F8" s="3"/>
      <c r="G8" s="3"/>
      <c r="H8" s="6" t="s">
        <v>25</v>
      </c>
      <c r="I8" s="8" t="s">
        <v>42</v>
      </c>
      <c r="J8" s="3"/>
    </row>
    <row r="9" spans="1:10" ht="15.75" x14ac:dyDescent="0.25">
      <c r="A9" s="3"/>
      <c r="B9" s="6" t="s">
        <v>26</v>
      </c>
      <c r="C9" s="7">
        <f>D18/I18</f>
        <v>0.88888888888888884</v>
      </c>
      <c r="D9" s="3"/>
      <c r="E9" s="3"/>
      <c r="F9" s="3"/>
      <c r="G9" s="3"/>
      <c r="H9" s="3"/>
      <c r="I9" s="3"/>
      <c r="J9" s="3"/>
    </row>
    <row r="10" spans="1:10" x14ac:dyDescent="0.25">
      <c r="A10" s="3"/>
      <c r="C10" s="3"/>
      <c r="D10" s="3"/>
      <c r="E10" s="3"/>
      <c r="F10" s="3"/>
      <c r="G10" s="3"/>
      <c r="H10" s="3"/>
      <c r="I10" s="3"/>
      <c r="J10" s="3"/>
    </row>
    <row r="11" spans="1:10" ht="16.5" thickBot="1" x14ac:dyDescent="0.3">
      <c r="A11" s="9" t="s">
        <v>27</v>
      </c>
      <c r="B11" s="10" t="s">
        <v>28</v>
      </c>
      <c r="C11" s="9" t="s">
        <v>29</v>
      </c>
      <c r="D11" s="9" t="s">
        <v>30</v>
      </c>
      <c r="E11" s="9" t="s">
        <v>31</v>
      </c>
      <c r="F11" s="9" t="s">
        <v>32</v>
      </c>
      <c r="G11" s="9" t="s">
        <v>33</v>
      </c>
      <c r="H11" s="9" t="s">
        <v>34</v>
      </c>
      <c r="I11" s="9" t="s">
        <v>35</v>
      </c>
      <c r="J11" s="9" t="s">
        <v>24</v>
      </c>
    </row>
    <row r="12" spans="1:10" ht="15.75" thickBot="1" x14ac:dyDescent="0.3">
      <c r="A12" s="5">
        <v>1</v>
      </c>
      <c r="B12" s="11" t="s">
        <v>37</v>
      </c>
      <c r="C12" s="5">
        <f>SUM(D12:F12)</f>
        <v>36</v>
      </c>
      <c r="D12" s="5">
        <v>32</v>
      </c>
      <c r="E12" s="5">
        <v>4</v>
      </c>
      <c r="F12" s="5">
        <v>0</v>
      </c>
      <c r="G12" s="5">
        <v>0</v>
      </c>
      <c r="H12" s="5">
        <v>0</v>
      </c>
      <c r="I12" s="5">
        <f>SUM(C12,G12:H12)</f>
        <v>36</v>
      </c>
      <c r="J12" s="12">
        <f>C12/I12</f>
        <v>1</v>
      </c>
    </row>
    <row r="13" spans="1:10" ht="15.75" thickBot="1" x14ac:dyDescent="0.3">
      <c r="A13" s="5"/>
      <c r="B13" s="11"/>
      <c r="C13" s="5"/>
      <c r="D13" s="5"/>
      <c r="E13" s="5"/>
      <c r="F13" s="5"/>
      <c r="G13" s="5"/>
      <c r="H13" s="5"/>
      <c r="I13" s="5"/>
      <c r="J13" s="12"/>
    </row>
    <row r="14" spans="1:10" ht="15.75" thickBot="1" x14ac:dyDescent="0.3">
      <c r="A14" s="5"/>
      <c r="B14" s="11"/>
      <c r="C14" s="5"/>
      <c r="D14" s="5"/>
      <c r="E14" s="5"/>
      <c r="F14" s="5"/>
      <c r="G14" s="5"/>
      <c r="H14" s="5"/>
      <c r="I14" s="5"/>
      <c r="J14" s="12"/>
    </row>
    <row r="15" spans="1:10" x14ac:dyDescent="0.25">
      <c r="A15" s="5"/>
      <c r="B15" s="13"/>
      <c r="C15" s="5"/>
      <c r="D15" s="5"/>
      <c r="E15" s="5"/>
      <c r="F15" s="5"/>
      <c r="G15" s="5"/>
      <c r="H15" s="5"/>
      <c r="I15" s="5"/>
      <c r="J15" s="12"/>
    </row>
    <row r="16" spans="1:10" x14ac:dyDescent="0.25">
      <c r="A16" s="5"/>
      <c r="B16" s="13"/>
      <c r="C16" s="5"/>
      <c r="D16" s="5"/>
      <c r="E16" s="5"/>
      <c r="F16" s="5"/>
      <c r="G16" s="5"/>
      <c r="H16" s="5"/>
      <c r="I16" s="5"/>
      <c r="J16" s="12"/>
    </row>
    <row r="17" spans="1:10" x14ac:dyDescent="0.25">
      <c r="A17" s="16"/>
      <c r="B17" s="17"/>
      <c r="C17" s="17"/>
      <c r="D17" s="17"/>
      <c r="E17" s="17"/>
      <c r="F17" s="17"/>
      <c r="G17" s="17"/>
      <c r="H17" s="17"/>
      <c r="I17" s="17"/>
      <c r="J17" s="18"/>
    </row>
    <row r="18" spans="1:10" ht="15.75" x14ac:dyDescent="0.25">
      <c r="A18" s="14"/>
      <c r="B18" s="14" t="s">
        <v>35</v>
      </c>
      <c r="C18" s="15">
        <f t="shared" ref="C18:I18" si="0">SUM(C12:C16)</f>
        <v>36</v>
      </c>
      <c r="D18" s="14">
        <f t="shared" si="0"/>
        <v>32</v>
      </c>
      <c r="E18" s="14">
        <f t="shared" si="0"/>
        <v>4</v>
      </c>
      <c r="F18" s="14">
        <f t="shared" si="0"/>
        <v>0</v>
      </c>
      <c r="G18" s="14">
        <f t="shared" si="0"/>
        <v>0</v>
      </c>
      <c r="H18" s="15">
        <f t="shared" si="0"/>
        <v>0</v>
      </c>
      <c r="I18" s="15">
        <f t="shared" si="0"/>
        <v>36</v>
      </c>
      <c r="J18" s="7">
        <f>C18/I18</f>
        <v>1</v>
      </c>
    </row>
  </sheetData>
  <mergeCells count="13">
    <mergeCell ref="B1:G1"/>
    <mergeCell ref="B2:G2"/>
    <mergeCell ref="B3:I3"/>
    <mergeCell ref="A4:B4"/>
    <mergeCell ref="C4:E4"/>
    <mergeCell ref="F4:G4"/>
    <mergeCell ref="H4:J4"/>
    <mergeCell ref="A17:J17"/>
    <mergeCell ref="A5:B5"/>
    <mergeCell ref="C5:E5"/>
    <mergeCell ref="F5:G5"/>
    <mergeCell ref="H5:J5"/>
    <mergeCell ref="B6:J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tabSelected="1" topLeftCell="B1" zoomScaleNormal="100" zoomScalePageLayoutView="120" workbookViewId="0">
      <selection activeCell="I4" sqref="I4"/>
    </sheetView>
  </sheetViews>
  <sheetFormatPr defaultColWidth="8.85546875" defaultRowHeight="15" x14ac:dyDescent="0.25"/>
  <cols>
    <col min="1" max="1" width="9.140625" style="1" bestFit="1" customWidth="1"/>
    <col min="2" max="2" width="19.7109375" style="1" customWidth="1"/>
    <col min="3" max="3" width="26.42578125" style="1" customWidth="1"/>
    <col min="4" max="4" width="37.85546875" style="1" customWidth="1"/>
    <col min="5" max="5" width="46" style="1" customWidth="1"/>
    <col min="6" max="6" width="17" style="1" bestFit="1" customWidth="1"/>
    <col min="7" max="7" width="18.28515625" style="1" customWidth="1"/>
    <col min="8" max="8" width="12.42578125" style="1" customWidth="1"/>
    <col min="9" max="9" width="11.7109375" style="1" customWidth="1"/>
    <col min="10" max="10" width="18.42578125" style="1" customWidth="1"/>
    <col min="11" max="11" width="16.5703125" style="1" customWidth="1"/>
    <col min="12" max="12" width="16.85546875" style="1" customWidth="1"/>
    <col min="13" max="13" width="28.140625" style="1" customWidth="1"/>
    <col min="14" max="14" width="15.28515625" style="1" customWidth="1"/>
    <col min="15" max="15" width="15.140625" style="1" customWidth="1"/>
    <col min="16" max="16384" width="8.85546875" style="1"/>
  </cols>
  <sheetData>
    <row r="1" spans="1:13" ht="15.75" thickBot="1" x14ac:dyDescent="0.3">
      <c r="A1" s="26" t="s">
        <v>5</v>
      </c>
      <c r="B1" s="26" t="s">
        <v>57</v>
      </c>
      <c r="C1" s="26" t="s">
        <v>6</v>
      </c>
      <c r="D1" s="26" t="s">
        <v>7</v>
      </c>
      <c r="E1" s="26" t="s">
        <v>12</v>
      </c>
      <c r="F1" s="26" t="s">
        <v>13</v>
      </c>
      <c r="G1" s="26" t="s">
        <v>14</v>
      </c>
      <c r="H1" s="26" t="s">
        <v>2</v>
      </c>
      <c r="I1" s="26" t="s">
        <v>8</v>
      </c>
      <c r="J1" s="26" t="s">
        <v>11</v>
      </c>
      <c r="K1" s="26" t="s">
        <v>9</v>
      </c>
      <c r="L1" s="26" t="s">
        <v>3</v>
      </c>
      <c r="M1" s="26" t="s">
        <v>4</v>
      </c>
    </row>
    <row r="2" spans="1:13" customFormat="1" ht="81" customHeight="1" thickBot="1" x14ac:dyDescent="0.3">
      <c r="A2" s="27" t="s">
        <v>38</v>
      </c>
      <c r="B2" s="27" t="s">
        <v>40</v>
      </c>
      <c r="C2" s="27" t="s">
        <v>41</v>
      </c>
      <c r="D2" s="32" t="s">
        <v>70</v>
      </c>
      <c r="E2" s="27" t="s">
        <v>58</v>
      </c>
      <c r="F2" s="25" t="s">
        <v>62</v>
      </c>
      <c r="G2" s="31" t="s">
        <v>63</v>
      </c>
      <c r="H2" s="27" t="s">
        <v>39</v>
      </c>
      <c r="I2" s="27" t="s">
        <v>36</v>
      </c>
      <c r="J2" s="27" t="s">
        <v>19</v>
      </c>
      <c r="K2" s="28" t="s">
        <v>42</v>
      </c>
      <c r="L2" s="28" t="s">
        <v>72</v>
      </c>
      <c r="M2" s="30" t="s">
        <v>43</v>
      </c>
    </row>
    <row r="3" spans="1:13" customFormat="1" ht="73.5" customHeight="1" thickBot="1" x14ac:dyDescent="0.3">
      <c r="A3" s="29" t="s">
        <v>44</v>
      </c>
      <c r="B3" s="29" t="s">
        <v>45</v>
      </c>
      <c r="C3" s="29" t="s">
        <v>46</v>
      </c>
      <c r="D3" s="32" t="s">
        <v>71</v>
      </c>
      <c r="E3" s="29" t="s">
        <v>59</v>
      </c>
      <c r="F3" s="25" t="s">
        <v>64</v>
      </c>
      <c r="G3" s="31" t="s">
        <v>63</v>
      </c>
      <c r="H3" s="27" t="s">
        <v>39</v>
      </c>
      <c r="I3" s="27" t="s">
        <v>36</v>
      </c>
      <c r="J3" s="27" t="s">
        <v>19</v>
      </c>
      <c r="K3" s="28" t="s">
        <v>42</v>
      </c>
      <c r="L3" s="28" t="s">
        <v>72</v>
      </c>
      <c r="M3" s="29" t="s">
        <v>47</v>
      </c>
    </row>
    <row r="4" spans="1:13" customFormat="1" ht="82.5" customHeight="1" thickBot="1" x14ac:dyDescent="0.3">
      <c r="A4" s="29" t="s">
        <v>48</v>
      </c>
      <c r="B4" s="29" t="s">
        <v>49</v>
      </c>
      <c r="C4" s="29" t="s">
        <v>50</v>
      </c>
      <c r="D4" s="32" t="s">
        <v>68</v>
      </c>
      <c r="E4" s="29" t="s">
        <v>60</v>
      </c>
      <c r="F4" s="25" t="s">
        <v>65</v>
      </c>
      <c r="G4" s="1" t="s">
        <v>66</v>
      </c>
      <c r="H4" s="27" t="s">
        <v>39</v>
      </c>
      <c r="I4" s="29" t="s">
        <v>10</v>
      </c>
      <c r="J4" s="27" t="s">
        <v>19</v>
      </c>
      <c r="K4" s="28" t="s">
        <v>42</v>
      </c>
      <c r="L4" s="28" t="s">
        <v>72</v>
      </c>
      <c r="M4" s="29" t="s">
        <v>51</v>
      </c>
    </row>
    <row r="5" spans="1:13" customFormat="1" ht="77.25" thickBot="1" x14ac:dyDescent="0.3">
      <c r="A5" s="29" t="s">
        <v>52</v>
      </c>
      <c r="B5" s="29" t="s">
        <v>53</v>
      </c>
      <c r="C5" s="29" t="s">
        <v>54</v>
      </c>
      <c r="D5" s="32" t="s">
        <v>69</v>
      </c>
      <c r="E5" s="29" t="s">
        <v>61</v>
      </c>
      <c r="F5" s="25" t="s">
        <v>67</v>
      </c>
      <c r="G5" s="31" t="s">
        <v>63</v>
      </c>
      <c r="H5" s="27" t="s">
        <v>39</v>
      </c>
      <c r="I5" s="29" t="s">
        <v>55</v>
      </c>
      <c r="J5" s="27" t="s">
        <v>19</v>
      </c>
      <c r="K5" s="28" t="s">
        <v>42</v>
      </c>
      <c r="L5" s="28" t="s">
        <v>72</v>
      </c>
      <c r="M5" s="29" t="s">
        <v>56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Nhật Giang Đức</cp:lastModifiedBy>
  <dcterms:created xsi:type="dcterms:W3CDTF">2013-04-07T13:32:52Z</dcterms:created>
  <dcterms:modified xsi:type="dcterms:W3CDTF">2026-01-12T23:00:35Z</dcterms:modified>
</cp:coreProperties>
</file>